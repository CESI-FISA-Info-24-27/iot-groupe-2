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amas\Documents\RécupGithub\StableDiffusion\iot-groupe-2\src\docs\Commercial\"/>
    </mc:Choice>
  </mc:AlternateContent>
  <xr:revisionPtr revIDLastSave="0" documentId="13_ncr:1_{FC24C78F-FA70-4DAA-8BA5-01DBB4D60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4" r:id="rId1"/>
    <sheet name="Prix Produit" sheetId="1" r:id="rId2"/>
    <sheet name="Frais de Consommation" sheetId="3" r:id="rId3"/>
    <sheet name="Emprunte Carbon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9" i="4"/>
  <c r="H3" i="4"/>
  <c r="G3" i="4"/>
  <c r="B8" i="4"/>
  <c r="B6" i="4"/>
  <c r="B5" i="4"/>
  <c r="C3" i="3"/>
  <c r="D3" i="3" s="1"/>
  <c r="D3" i="4" s="1"/>
  <c r="D5" i="4"/>
  <c r="D8" i="4"/>
  <c r="B7" i="4"/>
  <c r="B6" i="2"/>
  <c r="C4" i="3"/>
  <c r="D4" i="3" s="1"/>
  <c r="C5" i="3"/>
  <c r="D5" i="3" s="1"/>
  <c r="C4" i="1"/>
  <c r="C5" i="1"/>
  <c r="C6" i="1"/>
  <c r="C3" i="1"/>
  <c r="B4" i="4" s="1"/>
</calcChain>
</file>

<file path=xl/sharedStrings.xml><?xml version="1.0" encoding="utf-8"?>
<sst xmlns="http://schemas.openxmlformats.org/spreadsheetml/2006/main" count="68" uniqueCount="60">
  <si>
    <t>Nom</t>
  </si>
  <si>
    <t>Prestations</t>
  </si>
  <si>
    <t>Nom prestataire</t>
  </si>
  <si>
    <t>Prix à l'heure</t>
  </si>
  <si>
    <t>Prix total</t>
  </si>
  <si>
    <t>BEROUD Dylan</t>
  </si>
  <si>
    <t>JOLY Quentin</t>
  </si>
  <si>
    <t>CROUZET Lucas</t>
  </si>
  <si>
    <t>REPELLIN Benjamin</t>
  </si>
  <si>
    <t>Nombre d'heures travaillées</t>
  </si>
  <si>
    <t>Composants</t>
  </si>
  <si>
    <t>Raspberry Pi</t>
  </si>
  <si>
    <t>Capteur de température &amp; pression atmosphérique</t>
  </si>
  <si>
    <t>Capteur ultrason</t>
  </si>
  <si>
    <t>ESP32 Capteurs</t>
  </si>
  <si>
    <t>Référence</t>
  </si>
  <si>
    <t>ESP32 Caméra</t>
  </si>
  <si>
    <t>ESP32-WROOM-32E</t>
  </si>
  <si>
    <t>Capteur son</t>
  </si>
  <si>
    <t>BMP280</t>
  </si>
  <si>
    <t>Prix</t>
  </si>
  <si>
    <t>Conception</t>
  </si>
  <si>
    <t>Utilisation</t>
  </si>
  <si>
    <t>Adaptateur Port-USB vers ESP32-Cam</t>
  </si>
  <si>
    <t>Câble USB-A -&gt; USB-C</t>
  </si>
  <si>
    <t>Branchement Raspberry - Caméra</t>
  </si>
  <si>
    <t>Branchement Raspberry - Capteurs</t>
  </si>
  <si>
    <t>Câble de branchements ESP32 - Capteurs / Cam</t>
  </si>
  <si>
    <t>Kit Raspberry Pi 5 KIT-PI5-4</t>
  </si>
  <si>
    <t>Module ESP32-CAM</t>
  </si>
  <si>
    <t>Câble USB-A -&gt; Série FT232RL GT1125</t>
  </si>
  <si>
    <t>HC-SR04</t>
  </si>
  <si>
    <t>ADA1063</t>
  </si>
  <si>
    <t>140 ponts de connexion</t>
  </si>
  <si>
    <t>Consommation électrique (en W)</t>
  </si>
  <si>
    <t>Consommation électrique à l'année (kWh/an)</t>
  </si>
  <si>
    <t>Prix (en €/an)</t>
  </si>
  <si>
    <t>Frais de Consommation</t>
  </si>
  <si>
    <t>Émission de CO2 à la conception (en kg)</t>
  </si>
  <si>
    <t>Émission de CO2 à l'utilisation (en kg/an)</t>
  </si>
  <si>
    <t>Émission de CO2 par kWh en France (en kg/kWh)</t>
  </si>
  <si>
    <t>Déploiement (tests CI/CD)*</t>
  </si>
  <si>
    <t>*pour 300 minutes de workflow sur une base de 0,1 kWh</t>
  </si>
  <si>
    <t>Tarification</t>
  </si>
  <si>
    <t>Équipe CesIoT</t>
  </si>
  <si>
    <t>Entreprise</t>
  </si>
  <si>
    <t>Prix de la pose</t>
  </si>
  <si>
    <t>Consommation Électrique (par an)</t>
  </si>
  <si>
    <t>Abonnement (par mois)</t>
  </si>
  <si>
    <t>Durée de rentabilité par client</t>
  </si>
  <si>
    <t>Nombre de clients</t>
  </si>
  <si>
    <t>Prestation (HT)</t>
  </si>
  <si>
    <t>Prestation (TT)</t>
  </si>
  <si>
    <t>Prix des composants (TT)</t>
  </si>
  <si>
    <t>Marge par client (en %)</t>
  </si>
  <si>
    <t>Prix Total (TT)</t>
  </si>
  <si>
    <t>Impôt sur le revenu (en %)</t>
  </si>
  <si>
    <t>Emprunte Carbone</t>
  </si>
  <si>
    <t>Conception (en kg CO2e)</t>
  </si>
  <si>
    <t>Utilisation à l'année (en kg CO2e/an)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</si>
</sst>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9" xfId="0" applyNumberFormat="1" applyBorder="1"/>
    <xf numFmtId="164" fontId="0" fillId="4" borderId="9" xfId="0" applyNumberFormat="1" applyFill="1" applyBorder="1"/>
    <xf numFmtId="9" fontId="0" fillId="0" borderId="9" xfId="1" applyFont="1" applyBorder="1"/>
    <xf numFmtId="2" fontId="0" fillId="0" borderId="10" xfId="0" applyNumberFormat="1" applyBorder="1"/>
    <xf numFmtId="0" fontId="0" fillId="4" borderId="11" xfId="0" applyFill="1" applyBorder="1"/>
    <xf numFmtId="0" fontId="0" fillId="0" borderId="12" xfId="0" applyBorder="1"/>
    <xf numFmtId="0" fontId="0" fillId="4" borderId="12" xfId="0" applyFill="1" applyBorder="1"/>
    <xf numFmtId="0" fontId="0" fillId="0" borderId="13" xfId="0" applyBorder="1"/>
    <xf numFmtId="0" fontId="0" fillId="5" borderId="8" xfId="0" applyFill="1" applyBorder="1"/>
    <xf numFmtId="2" fontId="0" fillId="0" borderId="14" xfId="0" applyNumberForma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3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47F3A-F137-49AD-841F-833019BBD9B6}" name="Prix_Composants" displayName="Prix_Composants" ref="E2:G12" totalsRowShown="0" headerRowDxfId="12">
  <autoFilter ref="E2:G12" xr:uid="{CFE47F3A-F137-49AD-841F-833019BBD9B6}"/>
  <tableColumns count="3">
    <tableColumn id="1" xr3:uid="{292E3C3D-77E2-4EA3-9E84-AB4334964DE9}" name="Nom"/>
    <tableColumn id="2" xr3:uid="{49D3CB3D-7E02-4358-859D-EEE213FF3490}" name="Référence" dataDxfId="11"/>
    <tableColumn id="3" xr3:uid="{DE376543-7C9B-427A-92FE-80BC61DB82E1}" name="Prix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F5B07-7425-4B56-8971-139DEA3374EB}" name="Prix_Prestations" displayName="Prix_Prestations" ref="A2:C6" totalsRowShown="0" headerRowDxfId="9">
  <autoFilter ref="A2:C6" xr:uid="{8F5F5B07-7425-4B56-8971-139DEA3374EB}"/>
  <tableColumns count="3">
    <tableColumn id="1" xr3:uid="{A350B6F5-809F-4213-9043-DD8B4A6B3456}" name="Nom prestataire"/>
    <tableColumn id="2" xr3:uid="{2E8D943C-3568-4716-B764-77C60B1ED82B}" name="Prix à l'heure" dataDxfId="8"/>
    <tableColumn id="3" xr3:uid="{EA4BB188-24D1-4833-B258-47F7446F6A35}" name="Prix total" dataDxfId="7">
      <calculatedColumnFormula>B3*$B$9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B4A487-9BDD-410F-8A63-88E69CD3E602}" name="Consommation_Electrique" displayName="Consommation_Electrique" ref="A2:D5" totalsRowShown="0" headerRowDxfId="6">
  <autoFilter ref="A2:D5" xr:uid="{E5B4A487-9BDD-410F-8A63-88E69CD3E602}"/>
  <tableColumns count="4">
    <tableColumn id="1" xr3:uid="{2B9EEF08-1FC7-4C9E-8084-1742AE971AC1}" name="Nom"/>
    <tableColumn id="2" xr3:uid="{7FC9BD96-3A3B-4FA3-A7B4-4A7509CD36FF}" name="Consommation électrique (en W)" dataDxfId="5"/>
    <tableColumn id="3" xr3:uid="{9D2B360D-BFF9-4226-8D53-629E97F0DC3B}" name="Consommation électrique à l'année (kWh/an)" dataDxfId="4">
      <calculatedColumnFormula>(B3*24*365) / 1000</calculatedColumnFormula>
    </tableColumn>
    <tableColumn id="4" xr3:uid="{2728A263-A25C-4154-A7A6-626507878E14}" name="Prix (en €/an)" dataDxfId="3">
      <calculatedColumnFormula>C3*0.23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72CC24-C761-40A5-AA6D-DEBADD3542DE}" name="Emprunte_Carbone" displayName="Emprunte_Carbone" ref="A2:C6" totalsRowShown="0" headerRowDxfId="2">
  <autoFilter ref="A2:C6" xr:uid="{7A72CC24-C761-40A5-AA6D-DEBADD3542DE}"/>
  <tableColumns count="3">
    <tableColumn id="1" xr3:uid="{017CCE70-05A8-4F37-B8E9-BED5BB4C9CA0}" name="Nom"/>
    <tableColumn id="2" xr3:uid="{2181739B-E2E6-4F96-9F77-66D41F605B67}" name="Émission de CO2 à la conception (en kg)" dataDxfId="1"/>
    <tableColumn id="3" xr3:uid="{25D9550A-78A3-4E3B-9713-04E38E6CAA84}" name="Émission de CO2 à l'utilisation (en kg/a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7289-5CB3-4DE4-82F5-C95C0F91F2EC}">
  <dimension ref="A1:H13"/>
  <sheetViews>
    <sheetView tabSelected="1" workbookViewId="0">
      <selection activeCell="H20" sqref="H20"/>
    </sheetView>
  </sheetViews>
  <sheetFormatPr baseColWidth="10" defaultRowHeight="14.4" x14ac:dyDescent="0.3"/>
  <cols>
    <col min="1" max="1" width="26.5546875" customWidth="1"/>
    <col min="2" max="2" width="24.21875" customWidth="1"/>
    <col min="3" max="3" width="31.5546875" customWidth="1"/>
    <col min="7" max="7" width="27" customWidth="1"/>
    <col min="8" max="8" width="33" customWidth="1"/>
  </cols>
  <sheetData>
    <row r="1" spans="1:8" ht="22.2" customHeight="1" thickBot="1" x14ac:dyDescent="0.35">
      <c r="A1" s="26" t="s">
        <v>43</v>
      </c>
      <c r="B1" s="27"/>
      <c r="C1" s="27"/>
      <c r="D1" s="28"/>
      <c r="G1" s="37" t="s">
        <v>57</v>
      </c>
      <c r="H1" s="38"/>
    </row>
    <row r="2" spans="1:8" ht="19.8" customHeight="1" thickBot="1" x14ac:dyDescent="0.35">
      <c r="A2" s="24" t="s">
        <v>44</v>
      </c>
      <c r="B2" s="25"/>
      <c r="C2" s="39" t="s">
        <v>45</v>
      </c>
      <c r="D2" s="25"/>
      <c r="G2" s="22" t="s">
        <v>58</v>
      </c>
      <c r="H2" s="21" t="s">
        <v>59</v>
      </c>
    </row>
    <row r="3" spans="1:8" ht="15" thickBot="1" x14ac:dyDescent="0.35">
      <c r="A3" s="15" t="s">
        <v>50</v>
      </c>
      <c r="B3" s="19">
        <v>10</v>
      </c>
      <c r="C3" s="29" t="s">
        <v>47</v>
      </c>
      <c r="D3" s="31">
        <f>SUM('Frais de Consommation'!D3:D5)</f>
        <v>20.450220000000002</v>
      </c>
      <c r="G3" s="23">
        <f>SUM(Emprunte_Carbone[Émission de CO2 à la conception (en kg)])</f>
        <v>7.5250000000000004</v>
      </c>
      <c r="H3" s="20">
        <f>SUM(Emprunte_Carbone[Émission de CO2 à l''utilisation (en kg/an)])</f>
        <v>4.4456999999999995</v>
      </c>
    </row>
    <row r="4" spans="1:8" x14ac:dyDescent="0.3">
      <c r="A4" s="16" t="s">
        <v>51</v>
      </c>
      <c r="B4" s="11">
        <f>SUM(Prix_Prestations[Prix total])</f>
        <v>9800</v>
      </c>
      <c r="C4" s="30"/>
      <c r="D4" s="32"/>
    </row>
    <row r="5" spans="1:8" x14ac:dyDescent="0.3">
      <c r="A5" s="17" t="s">
        <v>52</v>
      </c>
      <c r="B5" s="12">
        <f>B4*2</f>
        <v>19600</v>
      </c>
      <c r="C5" s="33" t="s">
        <v>46</v>
      </c>
      <c r="D5" s="34">
        <f>289.99</f>
        <v>289.99</v>
      </c>
    </row>
    <row r="6" spans="1:8" x14ac:dyDescent="0.3">
      <c r="A6" s="16" t="s">
        <v>56</v>
      </c>
      <c r="B6" s="13">
        <f>0.47</f>
        <v>0.47</v>
      </c>
      <c r="C6" s="33"/>
      <c r="D6" s="34"/>
    </row>
    <row r="7" spans="1:8" x14ac:dyDescent="0.3">
      <c r="A7" s="17" t="s">
        <v>53</v>
      </c>
      <c r="B7" s="12">
        <f>SUM(Prix_Composants[Prix])</f>
        <v>187.55</v>
      </c>
      <c r="C7" s="33"/>
      <c r="D7" s="34"/>
    </row>
    <row r="8" spans="1:8" x14ac:dyDescent="0.3">
      <c r="A8" s="16" t="s">
        <v>54</v>
      </c>
      <c r="B8" s="13">
        <f>0.2</f>
        <v>0.2</v>
      </c>
      <c r="C8" s="30" t="s">
        <v>48</v>
      </c>
      <c r="D8" s="32">
        <f>69.99</f>
        <v>69.989999999999995</v>
      </c>
    </row>
    <row r="9" spans="1:8" x14ac:dyDescent="0.3">
      <c r="A9" s="17" t="s">
        <v>55</v>
      </c>
      <c r="B9" s="12">
        <f>B5 * (1 + B6) + B7*B3</f>
        <v>30687.5</v>
      </c>
      <c r="C9" s="30"/>
      <c r="D9" s="32"/>
    </row>
    <row r="10" spans="1:8" ht="15" thickBot="1" x14ac:dyDescent="0.35">
      <c r="A10" s="18" t="s">
        <v>49</v>
      </c>
      <c r="B10" s="14">
        <f>((B9/B3) - D5)/(D8*12)</f>
        <v>3.3085202647997338</v>
      </c>
      <c r="C10" s="35"/>
      <c r="D10" s="36"/>
    </row>
    <row r="13" spans="1:8" ht="18.600000000000001" customHeight="1" x14ac:dyDescent="0.3"/>
  </sheetData>
  <mergeCells count="10">
    <mergeCell ref="C8:C10"/>
    <mergeCell ref="D8:D10"/>
    <mergeCell ref="G1:H1"/>
    <mergeCell ref="C2:D2"/>
    <mergeCell ref="A2:B2"/>
    <mergeCell ref="A1:D1"/>
    <mergeCell ref="C3:C4"/>
    <mergeCell ref="D3:D4"/>
    <mergeCell ref="C5:C7"/>
    <mergeCell ref="D5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A27" sqref="A27"/>
    </sheetView>
  </sheetViews>
  <sheetFormatPr baseColWidth="10" defaultColWidth="8.88671875" defaultRowHeight="14.4" x14ac:dyDescent="0.3"/>
  <cols>
    <col min="1" max="1" width="25.21875" customWidth="1"/>
    <col min="2" max="2" width="15" customWidth="1"/>
    <col min="3" max="4" width="17.77734375" customWidth="1"/>
    <col min="5" max="5" width="42.77734375" customWidth="1"/>
    <col min="6" max="6" width="34.109375" customWidth="1"/>
    <col min="7" max="7" width="17.21875" customWidth="1"/>
    <col min="8" max="8" width="12.77734375" customWidth="1"/>
  </cols>
  <sheetData>
    <row r="1" spans="1:8" ht="19.2" customHeight="1" x14ac:dyDescent="0.3">
      <c r="A1" s="40" t="s">
        <v>1</v>
      </c>
      <c r="B1" s="40"/>
      <c r="C1" s="40"/>
      <c r="E1" s="40" t="s">
        <v>10</v>
      </c>
      <c r="F1" s="40"/>
      <c r="G1" s="40"/>
    </row>
    <row r="2" spans="1:8" x14ac:dyDescent="0.3">
      <c r="A2" s="1" t="s">
        <v>2</v>
      </c>
      <c r="B2" s="1" t="s">
        <v>3</v>
      </c>
      <c r="C2" s="1" t="s">
        <v>4</v>
      </c>
      <c r="E2" s="1" t="s">
        <v>0</v>
      </c>
      <c r="F2" s="1" t="s">
        <v>15</v>
      </c>
      <c r="G2" s="1" t="s">
        <v>20</v>
      </c>
      <c r="H2" s="1"/>
    </row>
    <row r="3" spans="1:8" x14ac:dyDescent="0.3">
      <c r="A3" t="s">
        <v>5</v>
      </c>
      <c r="B3" s="2">
        <v>14</v>
      </c>
      <c r="C3" s="2">
        <f>B3*$B$9</f>
        <v>2450</v>
      </c>
      <c r="E3" t="s">
        <v>11</v>
      </c>
      <c r="F3" s="4" t="s">
        <v>28</v>
      </c>
      <c r="G3" s="2">
        <v>116.58</v>
      </c>
      <c r="H3" s="1"/>
    </row>
    <row r="4" spans="1:8" x14ac:dyDescent="0.3">
      <c r="A4" t="s">
        <v>6</v>
      </c>
      <c r="B4" s="2">
        <v>14</v>
      </c>
      <c r="C4" s="2">
        <f t="shared" ref="C4:C6" si="0">B4*$B$9</f>
        <v>2450</v>
      </c>
      <c r="E4" t="s">
        <v>12</v>
      </c>
      <c r="F4" s="4" t="s">
        <v>19</v>
      </c>
      <c r="G4" s="2">
        <v>10.42</v>
      </c>
      <c r="H4" s="1"/>
    </row>
    <row r="5" spans="1:8" x14ac:dyDescent="0.3">
      <c r="A5" t="s">
        <v>7</v>
      </c>
      <c r="B5" s="2">
        <v>14</v>
      </c>
      <c r="C5" s="2">
        <f t="shared" si="0"/>
        <v>2450</v>
      </c>
      <c r="E5" t="s">
        <v>13</v>
      </c>
      <c r="F5" s="4" t="s">
        <v>31</v>
      </c>
      <c r="G5" s="2">
        <v>3.25</v>
      </c>
      <c r="H5" s="1"/>
    </row>
    <row r="6" spans="1:8" x14ac:dyDescent="0.3">
      <c r="A6" t="s">
        <v>8</v>
      </c>
      <c r="B6" s="2">
        <v>14</v>
      </c>
      <c r="C6" s="2">
        <f t="shared" si="0"/>
        <v>2450</v>
      </c>
      <c r="E6" t="s">
        <v>18</v>
      </c>
      <c r="F6" s="4" t="s">
        <v>32</v>
      </c>
      <c r="G6" s="2">
        <v>7.46</v>
      </c>
      <c r="H6" s="1"/>
    </row>
    <row r="7" spans="1:8" x14ac:dyDescent="0.3">
      <c r="E7" t="s">
        <v>23</v>
      </c>
      <c r="F7" s="4"/>
      <c r="G7" s="2"/>
      <c r="H7" s="1"/>
    </row>
    <row r="8" spans="1:8" ht="15" thickBot="1" x14ac:dyDescent="0.35">
      <c r="E8" t="s">
        <v>16</v>
      </c>
      <c r="F8" s="4" t="s">
        <v>29</v>
      </c>
      <c r="G8" s="2">
        <v>11.92</v>
      </c>
      <c r="H8" s="1"/>
    </row>
    <row r="9" spans="1:8" ht="15" thickBot="1" x14ac:dyDescent="0.35">
      <c r="A9" s="7" t="s">
        <v>9</v>
      </c>
      <c r="B9" s="6">
        <v>175</v>
      </c>
      <c r="E9" t="s">
        <v>14</v>
      </c>
      <c r="F9" s="4" t="s">
        <v>17</v>
      </c>
      <c r="G9" s="2">
        <v>19.920000000000002</v>
      </c>
      <c r="H9" s="1"/>
    </row>
    <row r="10" spans="1:8" x14ac:dyDescent="0.3">
      <c r="E10" t="s">
        <v>25</v>
      </c>
      <c r="F10" s="5" t="s">
        <v>30</v>
      </c>
      <c r="G10" s="2">
        <v>9.08</v>
      </c>
    </row>
    <row r="11" spans="1:8" x14ac:dyDescent="0.3">
      <c r="E11" t="s">
        <v>26</v>
      </c>
      <c r="F11" s="5" t="s">
        <v>24</v>
      </c>
      <c r="G11" s="2">
        <v>3.25</v>
      </c>
    </row>
    <row r="12" spans="1:8" x14ac:dyDescent="0.3">
      <c r="E12" t="s">
        <v>27</v>
      </c>
      <c r="F12" s="4" t="s">
        <v>33</v>
      </c>
      <c r="G12" s="2">
        <v>5.67</v>
      </c>
    </row>
  </sheetData>
  <mergeCells count="2">
    <mergeCell ref="A1:C1"/>
    <mergeCell ref="E1:G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CAC8-ADFD-455A-B7F5-BD45B3AD1E38}">
  <dimension ref="A1:D5"/>
  <sheetViews>
    <sheetView workbookViewId="0">
      <selection activeCell="C23" sqref="C23"/>
    </sheetView>
  </sheetViews>
  <sheetFormatPr baseColWidth="10" defaultRowHeight="14.4" x14ac:dyDescent="0.3"/>
  <cols>
    <col min="1" max="1" width="15.21875" customWidth="1"/>
    <col min="2" max="2" width="47.44140625" customWidth="1"/>
    <col min="3" max="3" width="39.6640625" customWidth="1"/>
    <col min="4" max="4" width="14.6640625" customWidth="1"/>
  </cols>
  <sheetData>
    <row r="1" spans="1:4" ht="32.4" customHeight="1" x14ac:dyDescent="0.3">
      <c r="A1" s="40" t="s">
        <v>37</v>
      </c>
      <c r="B1" s="40"/>
      <c r="C1" s="40"/>
      <c r="D1" s="40"/>
    </row>
    <row r="2" spans="1:4" x14ac:dyDescent="0.3">
      <c r="A2" s="1" t="s">
        <v>0</v>
      </c>
      <c r="B2" s="1" t="s">
        <v>34</v>
      </c>
      <c r="C2" s="1" t="s">
        <v>35</v>
      </c>
      <c r="D2" s="1" t="s">
        <v>36</v>
      </c>
    </row>
    <row r="3" spans="1:4" x14ac:dyDescent="0.3">
      <c r="A3" t="s">
        <v>11</v>
      </c>
      <c r="B3" s="1">
        <v>9</v>
      </c>
      <c r="C3" s="1">
        <f>(B3*24*365) / 1000</f>
        <v>78.84</v>
      </c>
      <c r="D3" s="2">
        <f>C3*0.23</f>
        <v>18.133200000000002</v>
      </c>
    </row>
    <row r="4" spans="1:4" x14ac:dyDescent="0.3">
      <c r="A4" t="s">
        <v>14</v>
      </c>
      <c r="B4" s="1">
        <v>0.25</v>
      </c>
      <c r="C4" s="1">
        <f t="shared" ref="C4:C5" si="0">(B4*24*365) / 1000</f>
        <v>2.19</v>
      </c>
      <c r="D4" s="2">
        <f t="shared" ref="D4:D5" si="1">C4*0.23</f>
        <v>0.50370000000000004</v>
      </c>
    </row>
    <row r="5" spans="1:4" x14ac:dyDescent="0.3">
      <c r="A5" t="s">
        <v>16</v>
      </c>
      <c r="B5" s="1">
        <v>0.9</v>
      </c>
      <c r="C5" s="1">
        <f t="shared" si="0"/>
        <v>7.8840000000000012</v>
      </c>
      <c r="D5" s="2">
        <f t="shared" si="1"/>
        <v>1.8133200000000003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39A4-F2AF-4C7F-99DC-31D94FE59B08}">
  <dimension ref="A1:F10"/>
  <sheetViews>
    <sheetView workbookViewId="0">
      <selection activeCell="E20" sqref="E20"/>
    </sheetView>
  </sheetViews>
  <sheetFormatPr baseColWidth="10" defaultRowHeight="14.4" x14ac:dyDescent="0.3"/>
  <cols>
    <col min="1" max="1" width="47.6640625" customWidth="1"/>
    <col min="2" max="2" width="39" customWidth="1"/>
    <col min="3" max="3" width="39.21875" customWidth="1"/>
    <col min="5" max="5" width="41.77734375" customWidth="1"/>
  </cols>
  <sheetData>
    <row r="1" spans="1:6" ht="26.4" customHeight="1" thickBot="1" x14ac:dyDescent="0.35">
      <c r="A1" s="41" t="s">
        <v>21</v>
      </c>
      <c r="B1" s="42"/>
      <c r="C1" s="8" t="s">
        <v>22</v>
      </c>
      <c r="D1" s="1"/>
    </row>
    <row r="2" spans="1:6" ht="15" thickBot="1" x14ac:dyDescent="0.35">
      <c r="A2" s="1" t="s">
        <v>0</v>
      </c>
      <c r="B2" s="1" t="s">
        <v>38</v>
      </c>
      <c r="C2" s="1" t="s">
        <v>39</v>
      </c>
      <c r="E2" s="10" t="s">
        <v>40</v>
      </c>
      <c r="F2" s="9">
        <v>0.05</v>
      </c>
    </row>
    <row r="3" spans="1:6" x14ac:dyDescent="0.3">
      <c r="A3" t="s">
        <v>11</v>
      </c>
      <c r="B3" s="3">
        <v>6.5</v>
      </c>
      <c r="C3" s="3">
        <v>3.9420000000000002</v>
      </c>
    </row>
    <row r="4" spans="1:6" x14ac:dyDescent="0.3">
      <c r="A4" t="s">
        <v>16</v>
      </c>
      <c r="B4" s="3">
        <v>0.5</v>
      </c>
      <c r="C4" s="3">
        <v>0.39419999999999999</v>
      </c>
    </row>
    <row r="5" spans="1:6" x14ac:dyDescent="0.3">
      <c r="A5" t="s">
        <v>14</v>
      </c>
      <c r="B5" s="3">
        <v>0.5</v>
      </c>
      <c r="C5" s="3">
        <v>0.1095</v>
      </c>
    </row>
    <row r="6" spans="1:6" x14ac:dyDescent="0.3">
      <c r="A6" t="s">
        <v>41</v>
      </c>
      <c r="B6" s="3">
        <f>(300/60)*0.1*$F$2</f>
        <v>2.5000000000000001E-2</v>
      </c>
      <c r="C6" s="3">
        <v>0</v>
      </c>
    </row>
    <row r="10" spans="1:6" x14ac:dyDescent="0.3">
      <c r="A10" t="s">
        <v>42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Dashboard</vt:lpstr>
      <vt:lpstr>Prix Produit</vt:lpstr>
      <vt:lpstr>Frais de Consommation</vt:lpstr>
      <vt:lpstr>Emprunte Carbone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Down</dc:creator>
  <cp:lastModifiedBy>Mc Down</cp:lastModifiedBy>
  <dcterms:created xsi:type="dcterms:W3CDTF">2015-06-05T18:17:20Z</dcterms:created>
  <dcterms:modified xsi:type="dcterms:W3CDTF">2026-02-09T16:10:19Z</dcterms:modified>
</cp:coreProperties>
</file>